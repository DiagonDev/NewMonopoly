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codeName="ThisWorkbook"/>
  <xr:revisionPtr revIDLastSave="0" documentId="13_ncr:1_{A312E701-743B-415A-83C6-AC4B690795F4}" xr6:coauthVersionLast="47" xr6:coauthVersionMax="47" xr10:uidLastSave="{00000000-0000-0000-0000-000000000000}"/>
  <bookViews>
    <workbookView xWindow="-108" yWindow="-108" windowWidth="23256" windowHeight="12456" xr2:uid="{00000000-000D-0000-FFFF-FFFF00000000}"/>
  </bookViews>
  <sheets>
    <sheet name="PianificazioneProgetto" sheetId="11" r:id="rId1"/>
    <sheet name="Legenda" sheetId="13" r:id="rId2"/>
  </sheets>
  <definedNames>
    <definedName name="avanzamento_attività" localSheetId="0">PianificazioneProgetto!$D1</definedName>
    <definedName name="fine_attività" localSheetId="0">PianificazioneProgetto!$F1</definedName>
    <definedName name="inizio_attività" localSheetId="0">PianificazioneProgetto!$E1</definedName>
    <definedName name="Inizio_progetto">PianificazioneProgetto!$E$3</definedName>
    <definedName name="oggi" localSheetId="0">TODAY()</definedName>
    <definedName name="_xlnm.Print_Titles" localSheetId="0">PianificazioneProgetto!$4:$6</definedName>
    <definedName name="Visualizza_settimana">PianificazioneProgetto!$E$4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11" l="1"/>
  <c r="F25" i="11"/>
  <c r="E27" i="11"/>
  <c r="E28" i="11" s="1"/>
  <c r="G33" i="11"/>
  <c r="G29" i="11"/>
  <c r="E9" i="11"/>
  <c r="F9" i="11" s="1"/>
  <c r="G23" i="11"/>
  <c r="G11" i="11"/>
  <c r="G7" i="11"/>
  <c r="F28" i="11" l="1"/>
  <c r="E30" i="11" s="1"/>
  <c r="F30" i="11" s="1"/>
  <c r="G30" i="11" s="1"/>
  <c r="F27" i="11"/>
  <c r="E10" i="11"/>
  <c r="F10" i="11" s="1"/>
  <c r="E12" i="11" s="1"/>
  <c r="E13" i="11" s="1"/>
  <c r="G9" i="11"/>
  <c r="H5" i="11"/>
  <c r="H6" i="11" s="1"/>
  <c r="G8" i="11"/>
  <c r="E32" i="11" l="1"/>
  <c r="F32" i="11" s="1"/>
  <c r="E14" i="11"/>
  <c r="F13" i="11"/>
  <c r="E16" i="11" s="1"/>
  <c r="F12" i="11"/>
  <c r="E17" i="11" l="1"/>
  <c r="F17" i="11" s="1"/>
  <c r="F16" i="11"/>
  <c r="E15" i="11"/>
  <c r="F15" i="11" s="1"/>
  <c r="F14" i="11"/>
  <c r="G10" i="11"/>
  <c r="G12" i="11"/>
  <c r="I5" i="11"/>
  <c r="G13" i="11" l="1"/>
  <c r="J5" i="11"/>
  <c r="G14" i="11" l="1"/>
  <c r="K5" i="11"/>
  <c r="G15" i="11" l="1"/>
  <c r="E25" i="11"/>
  <c r="L5" i="11"/>
  <c r="E34" i="11" l="1"/>
  <c r="F34" i="11" s="1"/>
  <c r="E37" i="11" s="1"/>
  <c r="F37" i="11" s="1"/>
  <c r="G16" i="11"/>
  <c r="E26" i="11"/>
  <c r="F26" i="11" s="1"/>
  <c r="G25" i="11"/>
  <c r="G24" i="11"/>
  <c r="G17" i="11"/>
  <c r="E18" i="11"/>
  <c r="F18" i="11" s="1"/>
  <c r="E19" i="11" s="1"/>
  <c r="M5" i="11"/>
  <c r="E35" i="11" l="1"/>
  <c r="E22" i="11"/>
  <c r="F22" i="11" s="1"/>
  <c r="F19" i="11"/>
  <c r="E20" i="11" s="1"/>
  <c r="G28" i="11"/>
  <c r="G18" i="11"/>
  <c r="N5" i="11"/>
  <c r="E36" i="11" l="1"/>
  <c r="F35" i="11"/>
  <c r="E39" i="11" s="1"/>
  <c r="G19" i="11"/>
  <c r="E21" i="11"/>
  <c r="F21" i="11" s="1"/>
  <c r="F20" i="11"/>
  <c r="G22" i="11"/>
  <c r="G34" i="11"/>
  <c r="G27" i="11"/>
  <c r="G26" i="11"/>
  <c r="O5" i="11"/>
  <c r="O6" i="11" s="1"/>
  <c r="N6" i="11"/>
  <c r="M6" i="11"/>
  <c r="L6" i="11"/>
  <c r="K6" i="11"/>
  <c r="J6" i="11"/>
  <c r="I6" i="11"/>
  <c r="H4" i="11"/>
  <c r="G35" i="11" l="1"/>
  <c r="E40" i="11"/>
  <c r="F39" i="11"/>
  <c r="F40" i="11" s="1"/>
  <c r="F36" i="11"/>
  <c r="G36" i="11" s="1"/>
  <c r="G37" i="11"/>
  <c r="O4" i="11"/>
  <c r="P5" i="11"/>
  <c r="Q5" i="11" l="1"/>
  <c r="R5" i="11" l="1"/>
  <c r="G39" i="11" l="1"/>
  <c r="G40" i="11"/>
  <c r="S5" i="11"/>
  <c r="T5" i="11" l="1"/>
  <c r="U5" i="11" l="1"/>
  <c r="V5" i="11" l="1"/>
  <c r="V6" i="11" s="1"/>
  <c r="U6" i="11"/>
  <c r="T6" i="11"/>
  <c r="S6" i="11"/>
  <c r="R6" i="11"/>
  <c r="Q6" i="11"/>
  <c r="P6" i="11"/>
  <c r="V4" i="11" l="1"/>
  <c r="W5" i="11"/>
  <c r="X5" i="11" s="1"/>
  <c r="Y5" i="11" l="1"/>
  <c r="Z5" i="11" l="1"/>
  <c r="AA5" i="11" l="1"/>
  <c r="AB5" i="11" l="1"/>
  <c r="AC5" i="11" l="1"/>
  <c r="AC6" i="11" s="1"/>
  <c r="AB6" i="11"/>
  <c r="AA6" i="11"/>
  <c r="Z6" i="11"/>
  <c r="Y6" i="11"/>
  <c r="X6" i="11"/>
  <c r="W6" i="11"/>
  <c r="AD5" i="11" l="1"/>
  <c r="AE5" i="11" s="1"/>
  <c r="AF5" i="11" l="1"/>
  <c r="AG5" i="11" l="1"/>
  <c r="AH5" i="11" l="1"/>
  <c r="AI5" i="11" l="1"/>
  <c r="AI6" i="11" s="1"/>
  <c r="AH6" i="11"/>
  <c r="AG6" i="11"/>
  <c r="AF6" i="11"/>
  <c r="AE6" i="11"/>
  <c r="AD6" i="11"/>
  <c r="AC4" i="11"/>
  <c r="AJ5" i="11" l="1"/>
  <c r="AK5" i="11" l="1"/>
  <c r="AL5" i="11" l="1"/>
  <c r="AM5" i="11" l="1"/>
  <c r="AN5" i="11" l="1"/>
  <c r="AO5" i="11" l="1"/>
  <c r="AP5" i="11" l="1"/>
  <c r="AP6" i="11" s="1"/>
  <c r="AO6" i="11"/>
  <c r="AN6" i="11"/>
  <c r="AM6" i="11"/>
  <c r="AL6" i="11"/>
  <c r="AK6" i="11"/>
  <c r="AJ6" i="11"/>
  <c r="AQ5" i="11" l="1"/>
  <c r="AR5" i="11" s="1"/>
  <c r="AR6" i="11" s="1"/>
  <c r="AJ4" i="11"/>
  <c r="AQ6" i="11" l="1"/>
  <c r="AS5" i="11"/>
  <c r="AS6" i="11" s="1"/>
  <c r="AQ4" i="11"/>
  <c r="AT5" i="11" l="1"/>
  <c r="AT6" i="11" s="1"/>
  <c r="AU5" i="11" l="1"/>
  <c r="AU6" i="11" s="1"/>
  <c r="AV5" i="11" l="1"/>
  <c r="AV6" i="11" s="1"/>
  <c r="AW5" i="11" l="1"/>
  <c r="AX5" i="11" l="1"/>
  <c r="AX6" i="11" s="1"/>
  <c r="AW6" i="11"/>
  <c r="AY5" i="11" l="1"/>
  <c r="AY6" i="11" s="1"/>
  <c r="AX4" i="11"/>
  <c r="AZ5" i="11" l="1"/>
  <c r="AZ6" i="11" s="1"/>
  <c r="BA5" i="11" l="1"/>
  <c r="BA6" i="11" s="1"/>
  <c r="BB5" i="11" l="1"/>
  <c r="BB6" i="11" s="1"/>
  <c r="BC5" i="11" l="1"/>
  <c r="BC6" i="11" s="1"/>
  <c r="BD5" i="11" l="1"/>
  <c r="BD6" i="11" s="1"/>
</calcChain>
</file>

<file path=xl/sharedStrings.xml><?xml version="1.0" encoding="utf-8"?>
<sst xmlns="http://schemas.openxmlformats.org/spreadsheetml/2006/main" count="80" uniqueCount="62">
  <si>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</si>
  <si>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Immettere il nome della società nella cella B2.</t>
  </si>
  <si>
    <t>Immettere il nome del Responsabile di progetto nella cella B3. Immettere la data di inizio del progetto nella cella E3. Inizio progetto: l’etichetta si trova nella cella C3.</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</si>
  <si>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</si>
  <si>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</si>
  <si>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 xml:space="preserve">Non eliminare questa riga. Questa riga è nascosta per proteggere una formula usata per evidenziare il giorno corrente all’interno della pianificazione di progetto. </t>
  </si>
  <si>
    <t>ATTIVITÀ</t>
  </si>
  <si>
    <t>Inizio progetto:</t>
  </si>
  <si>
    <t>Visualizza settimana:</t>
  </si>
  <si>
    <t>ASSEGNATO
A</t>
  </si>
  <si>
    <t>AVANZAMENTO</t>
  </si>
  <si>
    <t>INIZIO</t>
  </si>
  <si>
    <t>FINE</t>
  </si>
  <si>
    <t>GIORNI</t>
  </si>
  <si>
    <t>Analisi dei requisiti e pianificazione</t>
  </si>
  <si>
    <t>Studio del progetto e dei requisiti</t>
  </si>
  <si>
    <t>Progettazione e modellazione</t>
  </si>
  <si>
    <t>Definizione dei pattern</t>
  </si>
  <si>
    <t>Implementazione e testing iniziale</t>
  </si>
  <si>
    <t>Sviluppo del frontend per l'interfaccia utente</t>
  </si>
  <si>
    <t>Setup di Github Actions per build e test automatici​</t>
  </si>
  <si>
    <t>Diagramma dei Casi d'uso</t>
  </si>
  <si>
    <t>Diagramma delle classi a livello di dominio</t>
  </si>
  <si>
    <t>Diagrammi SSD</t>
  </si>
  <si>
    <t>Diagramma dell'architettura software</t>
  </si>
  <si>
    <t>Diagramma delle classi a livello di progettazione</t>
  </si>
  <si>
    <t>Diagramma di sequenza di progettazione</t>
  </si>
  <si>
    <t>Diagramma a stati</t>
  </si>
  <si>
    <t>Diagramma attività</t>
  </si>
  <si>
    <t>Completamento della documentazione</t>
  </si>
  <si>
    <t>Revisione e miglioramento del codice</t>
  </si>
  <si>
    <t>Ronchi</t>
  </si>
  <si>
    <t>Tentori</t>
  </si>
  <si>
    <t>Messa</t>
  </si>
  <si>
    <t>Teruzzi</t>
  </si>
  <si>
    <t xml:space="preserve">Messa Alessando </t>
  </si>
  <si>
    <t>giorni liberi</t>
  </si>
  <si>
    <t>giorni liberi per qualcuno</t>
  </si>
  <si>
    <t xml:space="preserve">UML del database </t>
  </si>
  <si>
    <t>Implementazione del database</t>
  </si>
  <si>
    <t>Tentori, Ronchi</t>
  </si>
  <si>
    <t xml:space="preserve">Sviluppo del backend </t>
  </si>
  <si>
    <t>ITERAZIONE</t>
  </si>
  <si>
    <t>NewMonopoli</t>
  </si>
  <si>
    <t>Test intermedi</t>
  </si>
  <si>
    <t xml:space="preserve">Test finali e ottimizzazione </t>
  </si>
  <si>
    <t>Test  e ottimizzazioni con i tool</t>
  </si>
  <si>
    <t>Test  e ottimizzazioni con tool</t>
  </si>
  <si>
    <t>Da bancherz</t>
  </si>
  <si>
    <t>Tentori, Ronchi, Messa, Teruzzi</t>
  </si>
  <si>
    <t>Ricerca SpringBoot</t>
  </si>
  <si>
    <t>Ricerca React</t>
  </si>
  <si>
    <t>Teruzzi, Messa</t>
  </si>
  <si>
    <t>Tentori, Ronchi, Messa</t>
  </si>
  <si>
    <t>Ronchi, Messa, Tentori</t>
  </si>
  <si>
    <t/>
  </si>
  <si>
    <t>Revisione diagrammi</t>
  </si>
  <si>
    <t>Teruzzi, Messa, Ronchi</t>
  </si>
  <si>
    <t>Revisione del database</t>
  </si>
  <si>
    <t>Ronchi, Tentori</t>
  </si>
  <si>
    <t>Ronchi, Messa, Tentori, Teruzzi</t>
  </si>
  <si>
    <t>Tentori, Teruzzi, Ronchi, Messa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</si>
</sst>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11"/>
      <name val="Calibri"/>
      <family val="2"/>
      <scheme val="minor"/>
    </font>
  </fonts>
  <fills count="4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bgColor indexed="64"/>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7"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11" applyNumberFormat="0" applyAlignment="0" applyProtection="0"/>
    <xf numFmtId="0" fontId="21" fillId="17" borderId="12" applyNumberFormat="0" applyAlignment="0" applyProtection="0"/>
    <xf numFmtId="0" fontId="22" fillId="17" borderId="11" applyNumberFormat="0" applyAlignment="0" applyProtection="0"/>
    <xf numFmtId="0" fontId="23" fillId="0" borderId="13" applyNumberFormat="0" applyFill="0" applyAlignment="0" applyProtection="0"/>
    <xf numFmtId="0" fontId="24" fillId="18" borderId="14" applyNumberFormat="0" applyAlignment="0" applyProtection="0"/>
    <xf numFmtId="0" fontId="25" fillId="0" borderId="0" applyNumberFormat="0" applyFill="0" applyBorder="0" applyAlignment="0" applyProtection="0"/>
    <xf numFmtId="0" fontId="7" fillId="19"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2"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2"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2"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2"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2"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8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2" borderId="2" xfId="10" applyFill="1">
      <alignment horizontal="center" vertical="center"/>
    </xf>
    <xf numFmtId="166" fontId="0" fillId="8" borderId="2" xfId="0" applyNumberFormat="1" applyFill="1" applyBorder="1" applyAlignment="1">
      <alignment horizontal="center" vertical="center"/>
    </xf>
    <xf numFmtId="166" fontId="4" fillId="8" borderId="2" xfId="0" applyNumberFormat="1" applyFont="1" applyFill="1" applyBorder="1" applyAlignment="1">
      <alignment horizontal="center" vertical="center"/>
    </xf>
    <xf numFmtId="166" fontId="7" fillId="3" borderId="2" xfId="10" applyFill="1">
      <alignment horizontal="center" vertical="center"/>
    </xf>
    <xf numFmtId="166" fontId="0" fillId="5" borderId="2" xfId="0" applyNumberFormat="1" applyFill="1" applyBorder="1" applyAlignment="1">
      <alignment horizontal="center" vertical="center"/>
    </xf>
    <xf numFmtId="166" fontId="4" fillId="5" borderId="2" xfId="0" applyNumberFormat="1" applyFont="1" applyFill="1" applyBorder="1" applyAlignment="1">
      <alignment horizontal="center" vertical="center"/>
    </xf>
    <xf numFmtId="166" fontId="7" fillId="10"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9" borderId="2" xfId="10" applyFill="1">
      <alignment horizontal="center" vertical="center"/>
    </xf>
    <xf numFmtId="169" fontId="9" fillId="6" borderId="6" xfId="0" applyNumberFormat="1" applyFont="1" applyFill="1" applyBorder="1" applyAlignment="1">
      <alignment horizontal="center" vertical="center"/>
    </xf>
    <xf numFmtId="169" fontId="9" fillId="6" borderId="0" xfId="0" applyNumberFormat="1" applyFont="1" applyFill="1" applyAlignment="1">
      <alignment horizontal="center" vertical="center"/>
    </xf>
    <xf numFmtId="169" fontId="9" fillId="6" borderId="7" xfId="0" applyNumberFormat="1" applyFont="1" applyFill="1" applyBorder="1" applyAlignment="1">
      <alignment horizontal="center" vertical="center"/>
    </xf>
    <xf numFmtId="0" fontId="7" fillId="10" borderId="2" xfId="12" applyFill="1" applyAlignment="1">
      <alignment horizontal="left" vertical="center" wrapText="1" indent="2"/>
    </xf>
    <xf numFmtId="0" fontId="0" fillId="44" borderId="0" xfId="0" applyFill="1"/>
    <xf numFmtId="0" fontId="0" fillId="45" borderId="0" xfId="0" applyFill="1"/>
    <xf numFmtId="0" fontId="0" fillId="46" borderId="9" xfId="0" applyFill="1" applyBorder="1" applyAlignment="1">
      <alignment vertical="center"/>
    </xf>
    <xf numFmtId="0" fontId="0" fillId="46" borderId="9" xfId="0" applyFill="1" applyBorder="1" applyAlignment="1">
      <alignment horizontal="right" vertical="center"/>
    </xf>
    <xf numFmtId="0" fontId="5" fillId="5" borderId="2" xfId="0" applyFont="1" applyFill="1" applyBorder="1" applyAlignment="1">
      <alignment horizontal="center" vertical="center"/>
    </xf>
    <xf numFmtId="0" fontId="7" fillId="10" borderId="2" xfId="12" applyFill="1" applyAlignment="1">
      <alignment horizontal="center" vertical="center"/>
    </xf>
    <xf numFmtId="0" fontId="7" fillId="10" borderId="2" xfId="12" applyFill="1" applyAlignment="1">
      <alignment horizontal="center" vertical="center" wrapText="1"/>
    </xf>
    <xf numFmtId="0" fontId="6" fillId="12" borderId="1" xfId="0" applyFont="1" applyFill="1" applyBorder="1" applyAlignment="1">
      <alignment horizontal="center" vertical="center"/>
    </xf>
    <xf numFmtId="0" fontId="5" fillId="7" borderId="2" xfId="0" applyFont="1" applyFill="1" applyBorder="1" applyAlignment="1">
      <alignment horizontal="center" vertical="center"/>
    </xf>
    <xf numFmtId="0" fontId="12" fillId="46" borderId="9" xfId="0" applyFont="1" applyFill="1" applyBorder="1" applyAlignment="1">
      <alignment vertical="center"/>
    </xf>
    <xf numFmtId="9" fontId="27" fillId="5" borderId="2" xfId="2" applyFont="1" applyFill="1" applyBorder="1" applyAlignment="1">
      <alignment horizontal="center" vertical="center"/>
    </xf>
    <xf numFmtId="0" fontId="7" fillId="0" borderId="0" xfId="8">
      <alignment horizontal="right" indent="1"/>
    </xf>
    <xf numFmtId="0" fontId="7" fillId="0" borderId="7" xfId="8" applyBorder="1">
      <alignment horizontal="right" indent="1"/>
    </xf>
    <xf numFmtId="168" fontId="0" fillId="6" borderId="4" xfId="0" applyNumberFormat="1" applyFill="1" applyBorder="1" applyAlignment="1">
      <alignment horizontal="left" vertical="center" wrapText="1" indent="1"/>
    </xf>
    <xf numFmtId="168" fontId="0" fillId="6" borderId="1" xfId="0" applyNumberFormat="1" applyFill="1" applyBorder="1" applyAlignment="1">
      <alignment horizontal="left" vertical="center" wrapText="1" indent="1"/>
    </xf>
    <xf numFmtId="168" fontId="0" fillId="6" borderId="5" xfId="0" applyNumberFormat="1" applyFill="1" applyBorder="1" applyAlignment="1">
      <alignment horizontal="left" vertical="center" wrapText="1" indent="1"/>
    </xf>
    <xf numFmtId="167" fontId="7" fillId="0" borderId="3" xfId="9">
      <alignment horizontal="center" vertical="center"/>
    </xf>
    <xf numFmtId="0" fontId="5" fillId="8" borderId="2" xfId="0" applyFont="1" applyFill="1" applyBorder="1" applyAlignment="1">
      <alignment horizontal="center" vertical="center"/>
    </xf>
  </cellXfs>
  <cellStyles count="54">
    <cellStyle name="20% - Colore 1" xfId="31" builtinId="30" customBuiltin="1"/>
    <cellStyle name="20% - Colore 2" xfId="35" builtinId="34" customBuiltin="1"/>
    <cellStyle name="20% - Colore 3" xfId="39" builtinId="38" customBuiltin="1"/>
    <cellStyle name="20% - Colore 4" xfId="43" builtinId="42" customBuiltin="1"/>
    <cellStyle name="20% - Colore 5" xfId="47" builtinId="46" customBuiltin="1"/>
    <cellStyle name="20% - Colore 6" xfId="51" builtinId="50" customBuiltin="1"/>
    <cellStyle name="40% - Colore 1" xfId="32" builtinId="31" customBuiltin="1"/>
    <cellStyle name="40% - Colore 2" xfId="36" builtinId="35" customBuiltin="1"/>
    <cellStyle name="40% - Colore 3" xfId="40" builtinId="39" customBuiltin="1"/>
    <cellStyle name="40% - Colore 4" xfId="44" builtinId="43" customBuiltin="1"/>
    <cellStyle name="40% - Colore 5" xfId="48" builtinId="47" customBuiltin="1"/>
    <cellStyle name="40% - Colore 6" xfId="52" builtinId="51" customBuiltin="1"/>
    <cellStyle name="60% - Colore 1" xfId="33" builtinId="32" customBuiltin="1"/>
    <cellStyle name="60% - Colore 2" xfId="37" builtinId="36" customBuiltin="1"/>
    <cellStyle name="60% - Colore 3" xfId="41" builtinId="40" customBuiltin="1"/>
    <cellStyle name="60% - Colore 4" xfId="45" builtinId="44" customBuiltin="1"/>
    <cellStyle name="60% - Colore 5" xfId="49" builtinId="48" customBuiltin="1"/>
    <cellStyle name="60% - Colore 6" xfId="53" builtinId="52" customBuiltin="1"/>
    <cellStyle name="Attività" xfId="12" xr:uid="{6391D789-272B-4DD2-9BF3-2CDCF610FA41}"/>
    <cellStyle name="Calcolo" xfId="23" builtinId="22" customBuiltin="1"/>
    <cellStyle name="Cella collegata" xfId="24" builtinId="24" customBuiltin="1"/>
    <cellStyle name="Cella da controllare" xfId="25" builtinId="23" customBuiltin="1"/>
    <cellStyle name="Collegamento ipertestuale" xfId="1" builtinId="8" customBuiltin="1"/>
    <cellStyle name="Collegamento ipertestuale visitato" xfId="13" builtinId="9" customBuiltin="1"/>
    <cellStyle name="Colore 1" xfId="30" builtinId="29" customBuiltin="1"/>
    <cellStyle name="Colore 2" xfId="34" builtinId="33" customBuiltin="1"/>
    <cellStyle name="Colore 3" xfId="38" builtinId="37" customBuiltin="1"/>
    <cellStyle name="Colore 4" xfId="42" builtinId="41" customBuiltin="1"/>
    <cellStyle name="Colore 5" xfId="46" builtinId="45" customBuiltin="1"/>
    <cellStyle name="Colore 6" xfId="50" builtinId="49" customBuiltin="1"/>
    <cellStyle name="Data" xfId="10" xr:uid="{229918B6-DD13-4F5A-97B9-305F7E002AA3}"/>
    <cellStyle name="Inizio progetto" xfId="9" xr:uid="{8EB8A09A-C31C-40A3-B2C1-9449520178B8}"/>
    <cellStyle name="Input" xfId="21" builtinId="20" customBuiltin="1"/>
    <cellStyle name="Migliaia" xfId="4" builtinId="3" customBuiltin="1"/>
    <cellStyle name="Migliaia [0]" xfId="14" builtinId="6" customBuiltin="1"/>
    <cellStyle name="Neutrale" xfId="20" builtinId="28" customBuiltin="1"/>
    <cellStyle name="Nome" xfId="11" xr:uid="{B2D3C1EE-6B41-4801-AAFC-C2274E49E503}"/>
    <cellStyle name="Normale" xfId="0" builtinId="0" customBuiltin="1"/>
    <cellStyle name="Nota" xfId="27" builtinId="10" customBuiltin="1"/>
    <cellStyle name="Output" xfId="22" builtinId="21" customBuiltin="1"/>
    <cellStyle name="Percentuale" xfId="2" builtinId="5" customBuiltin="1"/>
    <cellStyle name="Testo avviso" xfId="26" builtinId="11" customBuiltin="1"/>
    <cellStyle name="Testo descrittivo" xfId="28" builtinId="53" customBuiltin="1"/>
    <cellStyle name="Titolo" xfId="5" builtinId="15" customBuiltin="1"/>
    <cellStyle name="Titolo 1" xfId="6" builtinId="16" customBuiltin="1"/>
    <cellStyle name="Titolo 2" xfId="7" builtinId="17" customBuiltin="1"/>
    <cellStyle name="Titolo 3" xfId="8" builtinId="18" customBuiltin="1"/>
    <cellStyle name="Titolo 4" xfId="17" builtinId="19" customBuiltin="1"/>
    <cellStyle name="Totale" xfId="29" builtinId="25" customBuiltin="1"/>
    <cellStyle name="Valore non valido" xfId="19" builtinId="27" customBuiltin="1"/>
    <cellStyle name="Valore valido" xfId="18" builtinId="26" customBuiltin="1"/>
    <cellStyle name="Valuta" xfId="15" builtinId="4" customBuiltin="1"/>
    <cellStyle name="Valuta [0]" xfId="16" builtinId="7" customBuiltin="1"/>
    <cellStyle name="zTestoNascosto" xfId="3" xr:uid="{26E66EE6-E33F-4D77-BAE4-0FB4F5BBF673}"/>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D40"/>
  <sheetViews>
    <sheetView showGridLines="0" tabSelected="1" showRuler="0" zoomScale="70" zoomScaleNormal="70" zoomScalePageLayoutView="70" workbookViewId="0">
      <pane ySplit="6" topLeftCell="A31" activePane="bottomLeft" state="frozen"/>
      <selection pane="bottomLeft" activeCell="F24" sqref="F24"/>
    </sheetView>
  </sheetViews>
  <sheetFormatPr defaultRowHeight="30" customHeight="1" x14ac:dyDescent="0.3"/>
  <cols>
    <col min="1" max="1" width="10.5546875" style="25" customWidth="1"/>
    <col min="2" max="2" width="58" bestFit="1" customWidth="1"/>
    <col min="3" max="3" width="30.77734375" bestFit="1" customWidth="1"/>
    <col min="4" max="4" width="15" customWidth="1"/>
    <col min="5" max="5" width="10.44140625" style="5" customWidth="1"/>
    <col min="6" max="6" width="9.33203125" customWidth="1"/>
    <col min="7" max="7" width="6" customWidth="1"/>
    <col min="8" max="56" width="4.77734375" customWidth="1"/>
    <col min="61" max="62" width="10.33203125"/>
  </cols>
  <sheetData>
    <row r="1" spans="1:56" ht="30" customHeight="1" x14ac:dyDescent="0.55000000000000004">
      <c r="A1" s="26" t="s">
        <v>0</v>
      </c>
      <c r="B1" s="28" t="s">
        <v>43</v>
      </c>
      <c r="C1" s="1"/>
      <c r="D1" s="2"/>
      <c r="E1" s="4"/>
      <c r="F1" s="24"/>
      <c r="G1" s="2"/>
      <c r="H1" s="44"/>
    </row>
    <row r="2" spans="1:56" ht="16.8" customHeight="1" x14ac:dyDescent="0.35">
      <c r="A2" s="25" t="s">
        <v>1</v>
      </c>
      <c r="B2" s="29" t="s">
        <v>48</v>
      </c>
      <c r="H2" s="45"/>
    </row>
    <row r="3" spans="1:56" ht="21" customHeight="1" x14ac:dyDescent="0.3">
      <c r="A3" s="25" t="s">
        <v>2</v>
      </c>
      <c r="B3" s="30" t="s">
        <v>35</v>
      </c>
      <c r="C3" s="73" t="s">
        <v>7</v>
      </c>
      <c r="D3" s="74"/>
      <c r="E3" s="78">
        <v>45648</v>
      </c>
      <c r="F3" s="78"/>
    </row>
    <row r="4" spans="1:56" ht="21" customHeight="1" x14ac:dyDescent="0.3">
      <c r="A4" s="26" t="s">
        <v>3</v>
      </c>
      <c r="C4" s="73" t="s">
        <v>8</v>
      </c>
      <c r="D4" s="74"/>
      <c r="E4" s="6">
        <v>1</v>
      </c>
      <c r="H4" s="75">
        <f>H5</f>
        <v>45649</v>
      </c>
      <c r="I4" s="76"/>
      <c r="J4" s="76"/>
      <c r="K4" s="76"/>
      <c r="L4" s="76"/>
      <c r="M4" s="76"/>
      <c r="N4" s="77"/>
      <c r="O4" s="75">
        <f>O5</f>
        <v>45656</v>
      </c>
      <c r="P4" s="76"/>
      <c r="Q4" s="76"/>
      <c r="R4" s="76"/>
      <c r="S4" s="76"/>
      <c r="T4" s="76"/>
      <c r="U4" s="77"/>
      <c r="V4" s="75">
        <f>V5</f>
        <v>45663</v>
      </c>
      <c r="W4" s="76"/>
      <c r="X4" s="76"/>
      <c r="Y4" s="76"/>
      <c r="Z4" s="76"/>
      <c r="AA4" s="76"/>
      <c r="AB4" s="77"/>
      <c r="AC4" s="75">
        <f>AC5</f>
        <v>45670</v>
      </c>
      <c r="AD4" s="76"/>
      <c r="AE4" s="76"/>
      <c r="AF4" s="76"/>
      <c r="AG4" s="76"/>
      <c r="AH4" s="76"/>
      <c r="AI4" s="77"/>
      <c r="AJ4" s="75">
        <f>AJ5</f>
        <v>45677</v>
      </c>
      <c r="AK4" s="76"/>
      <c r="AL4" s="76"/>
      <c r="AM4" s="76"/>
      <c r="AN4" s="76"/>
      <c r="AO4" s="76"/>
      <c r="AP4" s="77"/>
      <c r="AQ4" s="75">
        <f>AQ5</f>
        <v>45684</v>
      </c>
      <c r="AR4" s="76"/>
      <c r="AS4" s="76"/>
      <c r="AT4" s="76"/>
      <c r="AU4" s="76"/>
      <c r="AV4" s="76"/>
      <c r="AW4" s="77"/>
      <c r="AX4" s="75">
        <f>AX5</f>
        <v>45691</v>
      </c>
      <c r="AY4" s="76"/>
      <c r="AZ4" s="76"/>
      <c r="BA4" s="76"/>
      <c r="BB4" s="76"/>
      <c r="BC4" s="76"/>
      <c r="BD4" s="77"/>
    </row>
    <row r="5" spans="1:56" ht="15" customHeight="1" x14ac:dyDescent="0.3">
      <c r="A5" s="26" t="s">
        <v>4</v>
      </c>
      <c r="B5" s="43"/>
      <c r="C5" s="43"/>
      <c r="D5" s="43"/>
      <c r="E5" s="43"/>
      <c r="F5" s="43"/>
      <c r="H5" s="58">
        <f>Inizio_progetto-WEEKDAY(Inizio_progetto,1)+2+7*(Visualizza_settimana-1)</f>
        <v>45649</v>
      </c>
      <c r="I5" s="59">
        <f>H5+1</f>
        <v>45650</v>
      </c>
      <c r="J5" s="59">
        <f t="shared" ref="J5:AW5" si="0">I5+1</f>
        <v>45651</v>
      </c>
      <c r="K5" s="59">
        <f t="shared" si="0"/>
        <v>45652</v>
      </c>
      <c r="L5" s="59">
        <f t="shared" si="0"/>
        <v>45653</v>
      </c>
      <c r="M5" s="59">
        <f t="shared" si="0"/>
        <v>45654</v>
      </c>
      <c r="N5" s="60">
        <f t="shared" si="0"/>
        <v>45655</v>
      </c>
      <c r="O5" s="58">
        <f>N5+1</f>
        <v>45656</v>
      </c>
      <c r="P5" s="59">
        <f>O5+1</f>
        <v>45657</v>
      </c>
      <c r="Q5" s="59">
        <f t="shared" si="0"/>
        <v>45658</v>
      </c>
      <c r="R5" s="59">
        <f t="shared" si="0"/>
        <v>45659</v>
      </c>
      <c r="S5" s="59">
        <f t="shared" si="0"/>
        <v>45660</v>
      </c>
      <c r="T5" s="59">
        <f t="shared" si="0"/>
        <v>45661</v>
      </c>
      <c r="U5" s="60">
        <f t="shared" si="0"/>
        <v>45662</v>
      </c>
      <c r="V5" s="58">
        <f>U5+1</f>
        <v>45663</v>
      </c>
      <c r="W5" s="59">
        <f>V5+1</f>
        <v>45664</v>
      </c>
      <c r="X5" s="59">
        <f t="shared" si="0"/>
        <v>45665</v>
      </c>
      <c r="Y5" s="59">
        <f t="shared" si="0"/>
        <v>45666</v>
      </c>
      <c r="Z5" s="59">
        <f t="shared" si="0"/>
        <v>45667</v>
      </c>
      <c r="AA5" s="59">
        <f t="shared" si="0"/>
        <v>45668</v>
      </c>
      <c r="AB5" s="60">
        <f t="shared" si="0"/>
        <v>45669</v>
      </c>
      <c r="AC5" s="58">
        <f>AB5+1</f>
        <v>45670</v>
      </c>
      <c r="AD5" s="59">
        <f>AC5+1</f>
        <v>45671</v>
      </c>
      <c r="AE5" s="59">
        <f t="shared" si="0"/>
        <v>45672</v>
      </c>
      <c r="AF5" s="59">
        <f t="shared" si="0"/>
        <v>45673</v>
      </c>
      <c r="AG5" s="59">
        <f t="shared" si="0"/>
        <v>45674</v>
      </c>
      <c r="AH5" s="59">
        <f t="shared" si="0"/>
        <v>45675</v>
      </c>
      <c r="AI5" s="60">
        <f t="shared" si="0"/>
        <v>45676</v>
      </c>
      <c r="AJ5" s="58">
        <f>AI5+1</f>
        <v>45677</v>
      </c>
      <c r="AK5" s="59">
        <f>AJ5+1</f>
        <v>45678</v>
      </c>
      <c r="AL5" s="59">
        <f t="shared" si="0"/>
        <v>45679</v>
      </c>
      <c r="AM5" s="59">
        <f t="shared" si="0"/>
        <v>45680</v>
      </c>
      <c r="AN5" s="59">
        <f t="shared" si="0"/>
        <v>45681</v>
      </c>
      <c r="AO5" s="59">
        <f t="shared" si="0"/>
        <v>45682</v>
      </c>
      <c r="AP5" s="60">
        <f t="shared" si="0"/>
        <v>45683</v>
      </c>
      <c r="AQ5" s="58">
        <f>AP5+1</f>
        <v>45684</v>
      </c>
      <c r="AR5" s="59">
        <f>AQ5+1</f>
        <v>45685</v>
      </c>
      <c r="AS5" s="59">
        <f t="shared" si="0"/>
        <v>45686</v>
      </c>
      <c r="AT5" s="59">
        <f t="shared" si="0"/>
        <v>45687</v>
      </c>
      <c r="AU5" s="59">
        <f t="shared" si="0"/>
        <v>45688</v>
      </c>
      <c r="AV5" s="59">
        <f t="shared" si="0"/>
        <v>45689</v>
      </c>
      <c r="AW5" s="60">
        <f t="shared" si="0"/>
        <v>45690</v>
      </c>
      <c r="AX5" s="58">
        <f>AW5+1</f>
        <v>45691</v>
      </c>
      <c r="AY5" s="59">
        <f>AX5+1</f>
        <v>45692</v>
      </c>
      <c r="AZ5" s="59">
        <f t="shared" ref="AZ5:BD5" si="1">AY5+1</f>
        <v>45693</v>
      </c>
      <c r="BA5" s="59">
        <f t="shared" si="1"/>
        <v>45694</v>
      </c>
      <c r="BB5" s="59">
        <f t="shared" si="1"/>
        <v>45695</v>
      </c>
      <c r="BC5" s="59">
        <f t="shared" si="1"/>
        <v>45696</v>
      </c>
      <c r="BD5" s="60">
        <f t="shared" si="1"/>
        <v>45697</v>
      </c>
    </row>
    <row r="6" spans="1:56" ht="30" customHeight="1" thickBot="1" x14ac:dyDescent="0.35">
      <c r="A6" s="69" t="s">
        <v>42</v>
      </c>
      <c r="B6" s="7" t="s">
        <v>6</v>
      </c>
      <c r="C6" s="8" t="s">
        <v>9</v>
      </c>
      <c r="D6" s="8" t="s">
        <v>10</v>
      </c>
      <c r="E6" s="8" t="s">
        <v>11</v>
      </c>
      <c r="F6" s="8" t="s">
        <v>12</v>
      </c>
      <c r="G6" s="8" t="s">
        <v>13</v>
      </c>
      <c r="H6" s="9" t="str">
        <f t="shared" ref="H6:AM6" si="2">LEFT(TEXT(H5,"ggg"),1)</f>
        <v>l</v>
      </c>
      <c r="I6" s="9" t="str">
        <f t="shared" si="2"/>
        <v>m</v>
      </c>
      <c r="J6" s="9" t="str">
        <f t="shared" si="2"/>
        <v>m</v>
      </c>
      <c r="K6" s="9" t="str">
        <f t="shared" si="2"/>
        <v>g</v>
      </c>
      <c r="L6" s="9" t="str">
        <f t="shared" si="2"/>
        <v>v</v>
      </c>
      <c r="M6" s="9" t="str">
        <f t="shared" si="2"/>
        <v>s</v>
      </c>
      <c r="N6" s="9" t="str">
        <f t="shared" si="2"/>
        <v>d</v>
      </c>
      <c r="O6" s="9" t="str">
        <f t="shared" si="2"/>
        <v>l</v>
      </c>
      <c r="P6" s="9" t="str">
        <f t="shared" si="2"/>
        <v>m</v>
      </c>
      <c r="Q6" s="9" t="str">
        <f t="shared" si="2"/>
        <v>m</v>
      </c>
      <c r="R6" s="9" t="str">
        <f t="shared" si="2"/>
        <v>g</v>
      </c>
      <c r="S6" s="9" t="str">
        <f t="shared" si="2"/>
        <v>v</v>
      </c>
      <c r="T6" s="9" t="str">
        <f t="shared" si="2"/>
        <v>s</v>
      </c>
      <c r="U6" s="9" t="str">
        <f t="shared" si="2"/>
        <v>d</v>
      </c>
      <c r="V6" s="9" t="str">
        <f t="shared" si="2"/>
        <v>l</v>
      </c>
      <c r="W6" s="9" t="str">
        <f t="shared" si="2"/>
        <v>m</v>
      </c>
      <c r="X6" s="9" t="str">
        <f t="shared" si="2"/>
        <v>m</v>
      </c>
      <c r="Y6" s="9" t="str">
        <f t="shared" si="2"/>
        <v>g</v>
      </c>
      <c r="Z6" s="9" t="str">
        <f t="shared" si="2"/>
        <v>v</v>
      </c>
      <c r="AA6" s="9" t="str">
        <f t="shared" si="2"/>
        <v>s</v>
      </c>
      <c r="AB6" s="9" t="str">
        <f t="shared" si="2"/>
        <v>d</v>
      </c>
      <c r="AC6" s="9" t="str">
        <f t="shared" si="2"/>
        <v>l</v>
      </c>
      <c r="AD6" s="9" t="str">
        <f t="shared" si="2"/>
        <v>m</v>
      </c>
      <c r="AE6" s="9" t="str">
        <f t="shared" si="2"/>
        <v>m</v>
      </c>
      <c r="AF6" s="9" t="str">
        <f t="shared" si="2"/>
        <v>g</v>
      </c>
      <c r="AG6" s="9" t="str">
        <f t="shared" si="2"/>
        <v>v</v>
      </c>
      <c r="AH6" s="9" t="str">
        <f t="shared" si="2"/>
        <v>s</v>
      </c>
      <c r="AI6" s="9" t="str">
        <f t="shared" si="2"/>
        <v>d</v>
      </c>
      <c r="AJ6" s="9" t="str">
        <f t="shared" si="2"/>
        <v>l</v>
      </c>
      <c r="AK6" s="9" t="str">
        <f t="shared" si="2"/>
        <v>m</v>
      </c>
      <c r="AL6" s="9" t="str">
        <f t="shared" si="2"/>
        <v>m</v>
      </c>
      <c r="AM6" s="9" t="str">
        <f t="shared" si="2"/>
        <v>g</v>
      </c>
      <c r="AN6" s="9" t="str">
        <f t="shared" ref="AN6:BD6" si="3">LEFT(TEXT(AN5,"ggg"),1)</f>
        <v>v</v>
      </c>
      <c r="AO6" s="9" t="str">
        <f t="shared" si="3"/>
        <v>s</v>
      </c>
      <c r="AP6" s="9" t="str">
        <f t="shared" si="3"/>
        <v>d</v>
      </c>
      <c r="AQ6" s="9" t="str">
        <f t="shared" si="3"/>
        <v>l</v>
      </c>
      <c r="AR6" s="9" t="str">
        <f t="shared" si="3"/>
        <v>m</v>
      </c>
      <c r="AS6" s="9" t="str">
        <f t="shared" si="3"/>
        <v>m</v>
      </c>
      <c r="AT6" s="9" t="str">
        <f t="shared" si="3"/>
        <v>g</v>
      </c>
      <c r="AU6" s="9" t="str">
        <f t="shared" si="3"/>
        <v>v</v>
      </c>
      <c r="AV6" s="9" t="str">
        <f t="shared" si="3"/>
        <v>s</v>
      </c>
      <c r="AW6" s="9" t="str">
        <f t="shared" si="3"/>
        <v>d</v>
      </c>
      <c r="AX6" s="9" t="str">
        <f t="shared" si="3"/>
        <v>l</v>
      </c>
      <c r="AY6" s="9" t="str">
        <f t="shared" si="3"/>
        <v>m</v>
      </c>
      <c r="AZ6" s="9" t="str">
        <f t="shared" si="3"/>
        <v>m</v>
      </c>
      <c r="BA6" s="9" t="str">
        <f t="shared" si="3"/>
        <v>g</v>
      </c>
      <c r="BB6" s="9" t="str">
        <f t="shared" si="3"/>
        <v>v</v>
      </c>
      <c r="BC6" s="9" t="str">
        <f t="shared" si="3"/>
        <v>s</v>
      </c>
      <c r="BD6" s="9" t="str">
        <f t="shared" si="3"/>
        <v>d</v>
      </c>
    </row>
    <row r="7" spans="1:56" ht="30" hidden="1" customHeight="1" thickBot="1" x14ac:dyDescent="0.35">
      <c r="A7" s="25" t="s">
        <v>5</v>
      </c>
      <c r="C7" s="27"/>
      <c r="E7"/>
      <c r="G7" t="str">
        <f>IF(OR(ISBLANK(inizio_attività),ISBLANK(fine_attività)),"",fine_attività-inizio_attività+1)</f>
        <v/>
      </c>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row>
    <row r="8" spans="1:56" s="3" customFormat="1" ht="30" customHeight="1" thickBot="1" x14ac:dyDescent="0.35">
      <c r="A8" s="70">
        <v>1</v>
      </c>
      <c r="B8" s="11" t="s">
        <v>14</v>
      </c>
      <c r="C8" s="31"/>
      <c r="D8" s="12"/>
      <c r="E8" s="46"/>
      <c r="F8" s="47"/>
      <c r="G8" s="10" t="str">
        <f t="shared" ref="G8" si="4">IF(OR(ISBLANK(inizio_attività),ISBLANK(fine_attività)),"",fine_attività-inizio_attività+1)</f>
        <v/>
      </c>
      <c r="H8" s="71"/>
      <c r="I8" s="71"/>
      <c r="J8" s="71"/>
      <c r="K8" s="71"/>
      <c r="L8" s="71"/>
      <c r="M8" s="71"/>
      <c r="N8" s="71"/>
      <c r="O8" s="71"/>
      <c r="P8" s="71"/>
      <c r="Q8" s="71"/>
      <c r="R8" s="64"/>
      <c r="S8" s="23"/>
      <c r="T8" s="64"/>
      <c r="U8" s="64"/>
      <c r="V8" s="64"/>
      <c r="W8" s="64"/>
      <c r="X8" s="64"/>
      <c r="Y8" s="64"/>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row>
    <row r="9" spans="1:56" s="3" customFormat="1" ht="30" customHeight="1" thickBot="1" x14ac:dyDescent="0.35">
      <c r="A9" s="39"/>
      <c r="B9" s="39" t="s">
        <v>15</v>
      </c>
      <c r="C9" s="32" t="s">
        <v>40</v>
      </c>
      <c r="D9" s="13">
        <v>1</v>
      </c>
      <c r="E9" s="48">
        <f>Inizio_progetto</f>
        <v>45648</v>
      </c>
      <c r="F9" s="48">
        <f>E9+1</f>
        <v>45649</v>
      </c>
      <c r="G9" s="10">
        <f t="shared" ref="G9:G28" si="5">IF(OR(ISBLANK(inizio_attività),ISBLANK(fine_attività)),"",fine_attività-inizio_attività+1)</f>
        <v>2</v>
      </c>
      <c r="H9" s="71"/>
      <c r="I9" s="71"/>
      <c r="J9" s="71"/>
      <c r="K9" s="71"/>
      <c r="L9" s="71"/>
      <c r="M9" s="71"/>
      <c r="N9" s="71"/>
      <c r="O9" s="71"/>
      <c r="P9" s="71"/>
      <c r="Q9" s="71"/>
      <c r="R9" s="64"/>
      <c r="S9" s="23"/>
      <c r="T9" s="64"/>
      <c r="U9" s="64"/>
      <c r="V9" s="64"/>
      <c r="W9" s="64"/>
      <c r="X9" s="64"/>
      <c r="Y9" s="64"/>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row>
    <row r="10" spans="1:56" s="3" customFormat="1" ht="30" customHeight="1" thickBot="1" x14ac:dyDescent="0.35">
      <c r="A10" s="39"/>
      <c r="B10" s="39" t="s">
        <v>21</v>
      </c>
      <c r="C10" s="32" t="s">
        <v>33</v>
      </c>
      <c r="D10" s="13">
        <v>1</v>
      </c>
      <c r="E10" s="48">
        <f>F9</f>
        <v>45649</v>
      </c>
      <c r="F10" s="48">
        <f>E10</f>
        <v>45649</v>
      </c>
      <c r="G10" s="10">
        <f t="shared" si="5"/>
        <v>1</v>
      </c>
      <c r="H10" s="71"/>
      <c r="I10" s="71"/>
      <c r="J10" s="71"/>
      <c r="K10" s="71"/>
      <c r="L10" s="71"/>
      <c r="M10" s="71"/>
      <c r="N10" s="71"/>
      <c r="O10" s="71"/>
      <c r="P10" s="71"/>
      <c r="Q10" s="71"/>
      <c r="R10" s="64"/>
      <c r="S10" s="23"/>
      <c r="T10" s="64"/>
      <c r="U10" s="64"/>
      <c r="V10" s="64"/>
      <c r="W10" s="64"/>
      <c r="X10" s="64"/>
      <c r="Y10" s="64"/>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row>
    <row r="11" spans="1:56" s="3" customFormat="1" ht="30" customHeight="1" thickBot="1" x14ac:dyDescent="0.35">
      <c r="A11" s="14"/>
      <c r="B11" s="14" t="s">
        <v>16</v>
      </c>
      <c r="C11" s="33"/>
      <c r="D11" s="15"/>
      <c r="E11" s="49"/>
      <c r="F11" s="50"/>
      <c r="G11" s="10" t="str">
        <f t="shared" si="5"/>
        <v/>
      </c>
      <c r="H11" s="71"/>
      <c r="I11" s="71"/>
      <c r="J11" s="71"/>
      <c r="K11" s="71"/>
      <c r="L11" s="71"/>
      <c r="M11" s="71"/>
      <c r="N11" s="71"/>
      <c r="O11" s="71"/>
      <c r="P11" s="71"/>
      <c r="Q11" s="71"/>
      <c r="R11" s="64"/>
      <c r="S11" s="23"/>
      <c r="T11" s="64"/>
      <c r="U11" s="64"/>
      <c r="V11" s="64"/>
      <c r="W11" s="64"/>
      <c r="X11" s="64"/>
      <c r="Y11" s="64"/>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row>
    <row r="12" spans="1:56" s="3" customFormat="1" ht="30" customHeight="1" thickBot="1" x14ac:dyDescent="0.35">
      <c r="A12" s="40"/>
      <c r="B12" s="40" t="s">
        <v>22</v>
      </c>
      <c r="C12" s="34" t="s">
        <v>34</v>
      </c>
      <c r="D12" s="16">
        <v>1</v>
      </c>
      <c r="E12" s="51">
        <f>F10+1</f>
        <v>45650</v>
      </c>
      <c r="F12" s="51">
        <f>E12</f>
        <v>45650</v>
      </c>
      <c r="G12" s="10">
        <f t="shared" si="5"/>
        <v>1</v>
      </c>
      <c r="H12" s="71"/>
      <c r="I12" s="71"/>
      <c r="J12" s="71"/>
      <c r="K12" s="71"/>
      <c r="L12" s="71"/>
      <c r="M12" s="71"/>
      <c r="N12" s="71"/>
      <c r="O12" s="71"/>
      <c r="P12" s="71"/>
      <c r="Q12" s="71"/>
      <c r="R12" s="64"/>
      <c r="S12" s="23"/>
      <c r="T12" s="64"/>
      <c r="U12" s="64"/>
      <c r="V12" s="64"/>
      <c r="W12" s="64"/>
      <c r="X12" s="64"/>
      <c r="Y12" s="64"/>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row>
    <row r="13" spans="1:56" s="3" customFormat="1" ht="30" customHeight="1" thickBot="1" x14ac:dyDescent="0.35">
      <c r="A13" s="40"/>
      <c r="B13" s="40" t="s">
        <v>23</v>
      </c>
      <c r="C13" s="34" t="s">
        <v>49</v>
      </c>
      <c r="D13" s="16">
        <v>1</v>
      </c>
      <c r="E13" s="51">
        <f>E12</f>
        <v>45650</v>
      </c>
      <c r="F13" s="51">
        <f>E13+4</f>
        <v>45654</v>
      </c>
      <c r="G13" s="10">
        <f t="shared" si="5"/>
        <v>5</v>
      </c>
      <c r="H13" s="71"/>
      <c r="I13" s="71"/>
      <c r="J13" s="71"/>
      <c r="K13" s="71"/>
      <c r="L13" s="71"/>
      <c r="M13" s="71"/>
      <c r="N13" s="71"/>
      <c r="O13" s="71"/>
      <c r="P13" s="71"/>
      <c r="Q13" s="71"/>
      <c r="R13" s="64"/>
      <c r="S13" s="23"/>
      <c r="T13" s="65"/>
      <c r="U13" s="65"/>
      <c r="V13" s="64"/>
      <c r="W13" s="64"/>
      <c r="X13" s="64"/>
      <c r="Y13" s="64"/>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row>
    <row r="14" spans="1:56" s="3" customFormat="1" ht="30" customHeight="1" thickBot="1" x14ac:dyDescent="0.35">
      <c r="A14" s="40"/>
      <c r="B14" s="40" t="s">
        <v>24</v>
      </c>
      <c r="C14" s="34" t="s">
        <v>49</v>
      </c>
      <c r="D14" s="16">
        <v>1</v>
      </c>
      <c r="E14" s="51">
        <f>E13</f>
        <v>45650</v>
      </c>
      <c r="F14" s="51">
        <f>E14+10</f>
        <v>45660</v>
      </c>
      <c r="G14" s="10">
        <f t="shared" si="5"/>
        <v>11</v>
      </c>
      <c r="H14" s="71"/>
      <c r="I14" s="71"/>
      <c r="J14" s="71"/>
      <c r="K14" s="71"/>
      <c r="L14" s="71"/>
      <c r="M14" s="71"/>
      <c r="N14" s="71"/>
      <c r="O14" s="71"/>
      <c r="P14" s="71"/>
      <c r="Q14" s="71"/>
      <c r="R14" s="64"/>
      <c r="S14" s="23"/>
      <c r="T14" s="65"/>
      <c r="U14" s="65"/>
      <c r="V14" s="64"/>
      <c r="W14" s="64"/>
      <c r="X14" s="64"/>
      <c r="Y14" s="64"/>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row>
    <row r="15" spans="1:56" s="3" customFormat="1" ht="30" customHeight="1" thickBot="1" x14ac:dyDescent="0.35">
      <c r="A15" s="40"/>
      <c r="B15" s="40" t="s">
        <v>25</v>
      </c>
      <c r="C15" s="34" t="s">
        <v>49</v>
      </c>
      <c r="D15" s="16">
        <v>1</v>
      </c>
      <c r="E15" s="51">
        <f>E14</f>
        <v>45650</v>
      </c>
      <c r="F15" s="51">
        <f>E15+10</f>
        <v>45660</v>
      </c>
      <c r="G15" s="10">
        <f t="shared" si="5"/>
        <v>11</v>
      </c>
      <c r="H15" s="71"/>
      <c r="I15" s="71"/>
      <c r="J15" s="71"/>
      <c r="K15" s="71"/>
      <c r="L15" s="71"/>
      <c r="M15" s="71"/>
      <c r="N15" s="71"/>
      <c r="O15" s="71"/>
      <c r="P15" s="71"/>
      <c r="Q15" s="71"/>
      <c r="R15" s="64"/>
      <c r="S15" s="23"/>
      <c r="T15" s="65"/>
      <c r="U15" s="65"/>
      <c r="V15" s="64"/>
      <c r="W15" s="64"/>
      <c r="X15" s="64"/>
      <c r="Y15" s="64"/>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row>
    <row r="16" spans="1:56" s="3" customFormat="1" ht="30" customHeight="1" thickBot="1" x14ac:dyDescent="0.35">
      <c r="A16" s="40"/>
      <c r="B16" s="40" t="s">
        <v>26</v>
      </c>
      <c r="C16" s="34" t="s">
        <v>49</v>
      </c>
      <c r="D16" s="16">
        <v>1</v>
      </c>
      <c r="E16" s="51">
        <f>F13+1</f>
        <v>45655</v>
      </c>
      <c r="F16" s="51">
        <f>E16+5</f>
        <v>45660</v>
      </c>
      <c r="G16" s="10">
        <f t="shared" si="5"/>
        <v>6</v>
      </c>
      <c r="H16" s="71"/>
      <c r="I16" s="71"/>
      <c r="J16" s="71"/>
      <c r="K16" s="71"/>
      <c r="L16" s="71"/>
      <c r="M16" s="71"/>
      <c r="N16" s="71"/>
      <c r="O16" s="71"/>
      <c r="P16" s="71"/>
      <c r="Q16" s="71"/>
      <c r="R16" s="64"/>
      <c r="S16" s="23"/>
      <c r="T16" s="65"/>
      <c r="U16" s="65"/>
      <c r="V16" s="64"/>
      <c r="W16" s="64"/>
      <c r="X16" s="64"/>
      <c r="Y16" s="64"/>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row>
    <row r="17" spans="1:56" s="3" customFormat="1" ht="30" customHeight="1" thickBot="1" x14ac:dyDescent="0.35">
      <c r="A17" s="40"/>
      <c r="B17" s="40" t="s">
        <v>27</v>
      </c>
      <c r="C17" s="34" t="s">
        <v>49</v>
      </c>
      <c r="D17" s="16">
        <v>1</v>
      </c>
      <c r="E17" s="51">
        <f>E16</f>
        <v>45655</v>
      </c>
      <c r="F17" s="51">
        <f>E17+5</f>
        <v>45660</v>
      </c>
      <c r="G17" s="10">
        <f t="shared" si="5"/>
        <v>6</v>
      </c>
      <c r="H17" s="71"/>
      <c r="I17" s="71"/>
      <c r="J17" s="71"/>
      <c r="K17" s="71"/>
      <c r="L17" s="71"/>
      <c r="M17" s="71"/>
      <c r="N17" s="71"/>
      <c r="O17" s="71"/>
      <c r="P17" s="71"/>
      <c r="Q17" s="71"/>
      <c r="R17" s="64"/>
      <c r="S17" s="23"/>
      <c r="T17" s="65"/>
      <c r="U17" s="65"/>
      <c r="V17" s="64"/>
      <c r="W17" s="64"/>
      <c r="X17" s="64"/>
      <c r="Y17" s="64"/>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row>
    <row r="18" spans="1:56" s="3" customFormat="1" ht="30" customHeight="1" thickBot="1" x14ac:dyDescent="0.35">
      <c r="A18" s="40"/>
      <c r="B18" s="40" t="s">
        <v>28</v>
      </c>
      <c r="C18" s="34" t="s">
        <v>49</v>
      </c>
      <c r="D18" s="16">
        <v>1</v>
      </c>
      <c r="E18" s="51">
        <f>E17</f>
        <v>45655</v>
      </c>
      <c r="F18" s="51">
        <f>E18+5</f>
        <v>45660</v>
      </c>
      <c r="G18" s="10">
        <f t="shared" si="5"/>
        <v>6</v>
      </c>
      <c r="H18" s="71"/>
      <c r="I18" s="71"/>
      <c r="J18" s="71"/>
      <c r="K18" s="71"/>
      <c r="L18" s="71"/>
      <c r="M18" s="71"/>
      <c r="N18" s="71"/>
      <c r="O18" s="71"/>
      <c r="P18" s="71"/>
      <c r="Q18" s="71"/>
      <c r="R18" s="64"/>
      <c r="S18" s="23"/>
      <c r="T18" s="65"/>
      <c r="U18" s="65"/>
      <c r="V18" s="64"/>
      <c r="W18" s="64"/>
      <c r="X18" s="64"/>
      <c r="Y18" s="64"/>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row>
    <row r="19" spans="1:56" s="3" customFormat="1" ht="30" customHeight="1" thickBot="1" x14ac:dyDescent="0.35">
      <c r="A19" s="40"/>
      <c r="B19" s="40" t="s">
        <v>17</v>
      </c>
      <c r="C19" s="34" t="s">
        <v>49</v>
      </c>
      <c r="D19" s="16">
        <v>1</v>
      </c>
      <c r="E19" s="51">
        <f>F18</f>
        <v>45660</v>
      </c>
      <c r="F19" s="51">
        <f>E19</f>
        <v>45660</v>
      </c>
      <c r="G19" s="10">
        <f t="shared" si="5"/>
        <v>1</v>
      </c>
      <c r="H19" s="71"/>
      <c r="I19" s="71"/>
      <c r="J19" s="71"/>
      <c r="K19" s="71"/>
      <c r="L19" s="71"/>
      <c r="M19" s="71"/>
      <c r="N19" s="71"/>
      <c r="O19" s="71"/>
      <c r="P19" s="71"/>
      <c r="Q19" s="71"/>
      <c r="R19" s="64"/>
      <c r="S19" s="23"/>
      <c r="T19" s="64"/>
      <c r="U19" s="64"/>
      <c r="V19" s="64"/>
      <c r="W19" s="64"/>
      <c r="X19" s="64"/>
      <c r="Y19" s="64"/>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row>
    <row r="20" spans="1:56" s="3" customFormat="1" ht="30" customHeight="1" thickBot="1" x14ac:dyDescent="0.35">
      <c r="A20" s="40"/>
      <c r="B20" s="40" t="s">
        <v>50</v>
      </c>
      <c r="C20" s="34" t="s">
        <v>31</v>
      </c>
      <c r="D20" s="16">
        <v>1</v>
      </c>
      <c r="E20" s="51">
        <f t="shared" ref="E20" si="6">F19</f>
        <v>45660</v>
      </c>
      <c r="F20" s="51">
        <f>E20+1</f>
        <v>45661</v>
      </c>
      <c r="G20" s="10"/>
      <c r="H20" s="71"/>
      <c r="I20" s="71"/>
      <c r="J20" s="71"/>
      <c r="K20" s="71"/>
      <c r="L20" s="71"/>
      <c r="M20" s="71"/>
      <c r="N20" s="71"/>
      <c r="O20" s="71"/>
      <c r="P20" s="71"/>
      <c r="Q20" s="71"/>
      <c r="R20" s="64"/>
      <c r="S20" s="23"/>
      <c r="T20" s="64"/>
      <c r="U20" s="64"/>
      <c r="V20" s="64"/>
      <c r="W20" s="64"/>
      <c r="X20" s="64"/>
      <c r="Y20" s="64"/>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row>
    <row r="21" spans="1:56" s="3" customFormat="1" ht="30" customHeight="1" thickBot="1" x14ac:dyDescent="0.35">
      <c r="A21" s="40"/>
      <c r="B21" s="40" t="s">
        <v>51</v>
      </c>
      <c r="C21" s="34" t="s">
        <v>33</v>
      </c>
      <c r="D21" s="16">
        <v>1</v>
      </c>
      <c r="E21" s="51">
        <f>E20</f>
        <v>45660</v>
      </c>
      <c r="F21" s="51">
        <f>E21+1</f>
        <v>45661</v>
      </c>
      <c r="G21" s="10"/>
      <c r="H21" s="71"/>
      <c r="I21" s="71"/>
      <c r="J21" s="71"/>
      <c r="K21" s="71"/>
      <c r="L21" s="71"/>
      <c r="M21" s="71"/>
      <c r="N21" s="71"/>
      <c r="O21" s="71"/>
      <c r="P21" s="71"/>
      <c r="Q21" s="71"/>
      <c r="R21" s="64"/>
      <c r="S21" s="23"/>
      <c r="T21" s="64"/>
      <c r="U21" s="64"/>
      <c r="V21" s="64"/>
      <c r="W21" s="64"/>
      <c r="X21" s="64"/>
      <c r="Y21" s="64"/>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row>
    <row r="22" spans="1:56" s="3" customFormat="1" ht="30" customHeight="1" thickBot="1" x14ac:dyDescent="0.35">
      <c r="A22" s="40"/>
      <c r="B22" s="40" t="s">
        <v>38</v>
      </c>
      <c r="C22" s="34" t="s">
        <v>32</v>
      </c>
      <c r="D22" s="16">
        <v>1</v>
      </c>
      <c r="E22" s="51">
        <f>E19</f>
        <v>45660</v>
      </c>
      <c r="F22" s="51">
        <f>E22+1</f>
        <v>45661</v>
      </c>
      <c r="G22" s="10">
        <f t="shared" si="5"/>
        <v>2</v>
      </c>
      <c r="H22" s="71"/>
      <c r="I22" s="71"/>
      <c r="J22" s="71"/>
      <c r="K22" s="71"/>
      <c r="L22" s="71"/>
      <c r="M22" s="71"/>
      <c r="N22" s="71"/>
      <c r="O22" s="71"/>
      <c r="P22" s="71"/>
      <c r="Q22" s="71"/>
      <c r="R22" s="64"/>
      <c r="S22" s="23"/>
      <c r="T22" s="64"/>
      <c r="U22" s="64"/>
      <c r="V22" s="64"/>
      <c r="W22" s="64"/>
      <c r="X22" s="64"/>
      <c r="Y22" s="64"/>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row>
    <row r="23" spans="1:56" s="3" customFormat="1" ht="30" customHeight="1" thickBot="1" x14ac:dyDescent="0.35">
      <c r="A23" s="66"/>
      <c r="B23" s="17" t="s">
        <v>18</v>
      </c>
      <c r="C23" s="35"/>
      <c r="D23" s="72"/>
      <c r="E23" s="52"/>
      <c r="F23" s="53"/>
      <c r="G23" s="10" t="str">
        <f t="shared" si="5"/>
        <v/>
      </c>
      <c r="H23" s="71"/>
      <c r="I23" s="71"/>
      <c r="J23" s="71"/>
      <c r="K23" s="71"/>
      <c r="L23" s="71"/>
      <c r="M23" s="71"/>
      <c r="N23" s="71"/>
      <c r="O23" s="71"/>
      <c r="P23" s="71"/>
      <c r="Q23" s="71"/>
      <c r="R23" s="64"/>
      <c r="S23" s="23"/>
      <c r="T23" s="64"/>
      <c r="U23" s="64"/>
      <c r="V23" s="64"/>
      <c r="W23" s="64"/>
      <c r="X23" s="64"/>
      <c r="Y23" s="64"/>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row>
    <row r="24" spans="1:56" s="3" customFormat="1" ht="30" customHeight="1" thickBot="1" x14ac:dyDescent="0.35">
      <c r="A24" s="67"/>
      <c r="B24" s="41" t="s">
        <v>41</v>
      </c>
      <c r="C24" s="36" t="s">
        <v>40</v>
      </c>
      <c r="D24" s="19">
        <v>1</v>
      </c>
      <c r="E24" s="54">
        <v>45661</v>
      </c>
      <c r="F24" s="54">
        <f>E24+17</f>
        <v>45678</v>
      </c>
      <c r="G24" s="10">
        <f t="shared" si="5"/>
        <v>18</v>
      </c>
      <c r="H24" s="71"/>
      <c r="I24" s="71"/>
      <c r="J24" s="71"/>
      <c r="K24" s="71"/>
      <c r="L24" s="71"/>
      <c r="M24" s="71"/>
      <c r="N24" s="71"/>
      <c r="O24" s="71"/>
      <c r="P24" s="71"/>
      <c r="Q24" s="71"/>
      <c r="R24" s="64"/>
      <c r="S24" s="23"/>
      <c r="T24" s="64"/>
      <c r="U24" s="64"/>
      <c r="V24" s="64"/>
      <c r="W24" s="64"/>
      <c r="X24" s="64"/>
      <c r="Y24" s="64"/>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row>
    <row r="25" spans="1:56" s="3" customFormat="1" ht="30" customHeight="1" thickBot="1" x14ac:dyDescent="0.35">
      <c r="A25" s="67"/>
      <c r="B25" s="41" t="s">
        <v>19</v>
      </c>
      <c r="C25" s="36" t="s">
        <v>52</v>
      </c>
      <c r="D25" s="19">
        <v>1</v>
      </c>
      <c r="E25" s="54">
        <f>E24</f>
        <v>45661</v>
      </c>
      <c r="F25" s="54">
        <f>E25+17</f>
        <v>45678</v>
      </c>
      <c r="G25" s="10">
        <f t="shared" si="5"/>
        <v>18</v>
      </c>
      <c r="H25" s="71"/>
      <c r="I25" s="71"/>
      <c r="J25" s="71"/>
      <c r="K25" s="71"/>
      <c r="L25" s="71"/>
      <c r="M25" s="71"/>
      <c r="N25" s="71"/>
      <c r="O25" s="71"/>
      <c r="P25" s="71"/>
      <c r="Q25" s="71"/>
      <c r="R25" s="64"/>
      <c r="S25" s="23"/>
      <c r="T25" s="64"/>
      <c r="U25" s="64"/>
      <c r="V25" s="64"/>
      <c r="W25" s="64"/>
      <c r="X25" s="64"/>
      <c r="Y25" s="64"/>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row>
    <row r="26" spans="1:56" s="3" customFormat="1" ht="30" customHeight="1" thickBot="1" x14ac:dyDescent="0.35">
      <c r="A26" s="67"/>
      <c r="B26" s="41" t="s">
        <v>39</v>
      </c>
      <c r="C26" s="36" t="s">
        <v>32</v>
      </c>
      <c r="D26" s="19">
        <v>1</v>
      </c>
      <c r="E26" s="54">
        <f>E25</f>
        <v>45661</v>
      </c>
      <c r="F26" s="54">
        <f>E26+6</f>
        <v>45667</v>
      </c>
      <c r="G26" s="10">
        <f t="shared" si="5"/>
        <v>7</v>
      </c>
      <c r="H26" s="71"/>
      <c r="I26" s="71"/>
      <c r="J26" s="71"/>
      <c r="K26" s="71"/>
      <c r="L26" s="71"/>
      <c r="M26" s="71"/>
      <c r="N26" s="71"/>
      <c r="O26" s="71"/>
      <c r="P26" s="71"/>
      <c r="Q26" s="71"/>
      <c r="R26" s="64"/>
      <c r="S26" s="23"/>
      <c r="T26" s="64"/>
      <c r="U26" s="64"/>
      <c r="V26" s="64"/>
      <c r="W26" s="64"/>
      <c r="X26" s="64"/>
      <c r="Y26" s="64"/>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row>
    <row r="27" spans="1:56" s="3" customFormat="1" ht="30" customHeight="1" thickBot="1" x14ac:dyDescent="0.35">
      <c r="A27" s="67"/>
      <c r="B27" s="41" t="s">
        <v>30</v>
      </c>
      <c r="C27" s="36" t="s">
        <v>53</v>
      </c>
      <c r="D27" s="19">
        <v>1</v>
      </c>
      <c r="E27" s="54">
        <f>E24+17</f>
        <v>45678</v>
      </c>
      <c r="F27" s="54">
        <f>E27+4</f>
        <v>45682</v>
      </c>
      <c r="G27" s="10">
        <f t="shared" si="5"/>
        <v>5</v>
      </c>
      <c r="H27" s="71"/>
      <c r="I27" s="71"/>
      <c r="J27" s="71"/>
      <c r="K27" s="71"/>
      <c r="L27" s="71"/>
      <c r="M27" s="71"/>
      <c r="N27" s="71"/>
      <c r="O27" s="71"/>
      <c r="P27" s="71"/>
      <c r="Q27" s="71"/>
      <c r="R27" s="64"/>
      <c r="S27" s="23"/>
      <c r="T27" s="64"/>
      <c r="U27" s="64"/>
      <c r="V27" s="64"/>
      <c r="W27" s="64"/>
      <c r="X27" s="64"/>
      <c r="Y27" s="64"/>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row>
    <row r="28" spans="1:56" s="3" customFormat="1" ht="30" customHeight="1" thickBot="1" x14ac:dyDescent="0.35">
      <c r="A28" s="68"/>
      <c r="B28" s="61" t="s">
        <v>20</v>
      </c>
      <c r="C28" s="36" t="s">
        <v>34</v>
      </c>
      <c r="D28" s="19">
        <v>1</v>
      </c>
      <c r="E28" s="54">
        <f>E27+1</f>
        <v>45679</v>
      </c>
      <c r="F28" s="54">
        <f>E28</f>
        <v>45679</v>
      </c>
      <c r="G28" s="10">
        <f t="shared" si="5"/>
        <v>1</v>
      </c>
      <c r="H28" s="71"/>
      <c r="I28" s="71"/>
      <c r="J28" s="71"/>
      <c r="K28" s="71"/>
      <c r="L28" s="71"/>
      <c r="M28" s="71"/>
      <c r="N28" s="71"/>
      <c r="O28" s="71"/>
      <c r="P28" s="71"/>
      <c r="Q28" s="71"/>
      <c r="R28" s="64"/>
      <c r="S28" s="23"/>
      <c r="T28" s="64"/>
      <c r="U28" s="64"/>
      <c r="V28" s="64"/>
      <c r="W28" s="64"/>
      <c r="X28" s="64"/>
      <c r="Y28" s="64"/>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row>
    <row r="29" spans="1:56" s="3" customFormat="1" ht="30" customHeight="1" thickBot="1" x14ac:dyDescent="0.35">
      <c r="A29" s="20"/>
      <c r="B29" s="20" t="s">
        <v>44</v>
      </c>
      <c r="C29" s="37"/>
      <c r="D29" s="21"/>
      <c r="E29" s="55"/>
      <c r="F29" s="56"/>
      <c r="G29" s="10" t="str">
        <f t="shared" ref="G29:G37" si="7">IF(OR(ISBLANK(inizio_attività),ISBLANK(fine_attività)),"",fine_attività-inizio_attività+1)</f>
        <v/>
      </c>
      <c r="H29" s="71"/>
      <c r="I29" s="71"/>
      <c r="J29" s="71"/>
      <c r="K29" s="71"/>
      <c r="L29" s="71"/>
      <c r="M29" s="71"/>
      <c r="N29" s="71"/>
      <c r="O29" s="71"/>
      <c r="P29" s="71"/>
      <c r="Q29" s="71"/>
      <c r="R29" s="64"/>
      <c r="S29" s="23"/>
      <c r="T29" s="64"/>
      <c r="U29" s="64"/>
      <c r="V29" s="64"/>
      <c r="W29" s="64"/>
      <c r="X29" s="64"/>
      <c r="Y29" s="64"/>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row>
    <row r="30" spans="1:56" s="3" customFormat="1" ht="30" customHeight="1" thickBot="1" x14ac:dyDescent="0.35">
      <c r="A30" s="42"/>
      <c r="B30" s="42" t="s">
        <v>47</v>
      </c>
      <c r="C30" s="38" t="s">
        <v>54</v>
      </c>
      <c r="D30" s="22">
        <v>1</v>
      </c>
      <c r="E30" s="57">
        <f>F28</f>
        <v>45679</v>
      </c>
      <c r="F30" s="57">
        <f>E30+3</f>
        <v>45682</v>
      </c>
      <c r="G30" s="10">
        <f t="shared" si="7"/>
        <v>4</v>
      </c>
      <c r="H30" s="71"/>
      <c r="I30" s="71"/>
      <c r="J30" s="71"/>
      <c r="K30" s="71"/>
      <c r="L30" s="71"/>
      <c r="M30" s="71"/>
      <c r="N30" s="71"/>
      <c r="O30" s="71"/>
      <c r="P30" s="71"/>
      <c r="Q30" s="71"/>
      <c r="R30" s="64"/>
      <c r="S30" s="23"/>
      <c r="T30" s="64"/>
      <c r="U30" s="64"/>
      <c r="V30" s="64"/>
      <c r="W30" s="64"/>
      <c r="X30" s="64"/>
      <c r="Y30" s="64"/>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row>
    <row r="31" spans="1:56" s="3" customFormat="1" ht="30" customHeight="1" thickBot="1" x14ac:dyDescent="0.35">
      <c r="A31" s="79">
        <v>2</v>
      </c>
      <c r="B31" s="14" t="s">
        <v>16</v>
      </c>
      <c r="C31" s="33"/>
      <c r="D31" s="15"/>
      <c r="E31" s="49"/>
      <c r="F31" s="50"/>
      <c r="G31" s="10" t="s">
        <v>55</v>
      </c>
      <c r="H31" s="71"/>
      <c r="I31" s="71"/>
      <c r="J31" s="71"/>
      <c r="K31" s="71"/>
      <c r="L31" s="71"/>
      <c r="M31" s="71"/>
      <c r="N31" s="71"/>
      <c r="O31" s="71"/>
      <c r="P31" s="71"/>
      <c r="Q31" s="71"/>
      <c r="R31" s="64"/>
      <c r="S31" s="23"/>
      <c r="T31" s="64"/>
      <c r="U31" s="64"/>
      <c r="V31" s="64"/>
      <c r="W31" s="64"/>
      <c r="X31" s="64"/>
      <c r="Y31" s="64"/>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row>
    <row r="32" spans="1:56" s="3" customFormat="1" ht="30" customHeight="1" thickBot="1" x14ac:dyDescent="0.35">
      <c r="A32" s="40"/>
      <c r="B32" s="40" t="s">
        <v>56</v>
      </c>
      <c r="C32" s="34" t="s">
        <v>57</v>
      </c>
      <c r="D32" s="16">
        <v>1</v>
      </c>
      <c r="E32" s="51">
        <f>F30</f>
        <v>45682</v>
      </c>
      <c r="F32" s="51">
        <f>E32+4</f>
        <v>45686</v>
      </c>
      <c r="G32" s="10">
        <v>1</v>
      </c>
      <c r="H32" s="71"/>
      <c r="I32" s="71"/>
      <c r="J32" s="71"/>
      <c r="K32" s="71"/>
      <c r="L32" s="71"/>
      <c r="M32" s="71"/>
      <c r="N32" s="71"/>
      <c r="O32" s="71"/>
      <c r="P32" s="71"/>
      <c r="Q32" s="71"/>
      <c r="R32" s="64"/>
      <c r="S32" s="23"/>
      <c r="T32" s="64"/>
      <c r="U32" s="64"/>
      <c r="V32" s="64"/>
      <c r="W32" s="64"/>
      <c r="X32" s="64"/>
      <c r="Y32" s="64"/>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row>
    <row r="33" spans="1:56" s="3" customFormat="1" ht="30" customHeight="1" thickBot="1" x14ac:dyDescent="0.35">
      <c r="A33" s="66"/>
      <c r="B33" s="17" t="s">
        <v>18</v>
      </c>
      <c r="C33" s="35"/>
      <c r="D33" s="18"/>
      <c r="E33" s="52"/>
      <c r="F33" s="53"/>
      <c r="G33" s="10" t="str">
        <f t="shared" si="7"/>
        <v/>
      </c>
      <c r="H33" s="71"/>
      <c r="I33" s="71"/>
      <c r="J33" s="71"/>
      <c r="K33" s="71"/>
      <c r="L33" s="71"/>
      <c r="M33" s="71"/>
      <c r="N33" s="71"/>
      <c r="O33" s="71"/>
      <c r="P33" s="71"/>
      <c r="Q33" s="71"/>
      <c r="R33" s="64"/>
      <c r="S33" s="23"/>
      <c r="T33" s="64"/>
      <c r="U33" s="64"/>
      <c r="V33" s="64"/>
      <c r="W33" s="64"/>
      <c r="X33" s="64"/>
      <c r="Y33" s="64"/>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row>
    <row r="34" spans="1:56" s="3" customFormat="1" ht="30" customHeight="1" thickBot="1" x14ac:dyDescent="0.35">
      <c r="A34" s="41"/>
      <c r="B34" s="41" t="s">
        <v>41</v>
      </c>
      <c r="C34" s="36" t="s">
        <v>59</v>
      </c>
      <c r="D34" s="19">
        <v>1</v>
      </c>
      <c r="E34" s="54">
        <f>F30</f>
        <v>45682</v>
      </c>
      <c r="F34" s="54">
        <f>E34+2</f>
        <v>45684</v>
      </c>
      <c r="G34" s="10">
        <f t="shared" si="7"/>
        <v>3</v>
      </c>
      <c r="H34" s="71"/>
      <c r="I34" s="71"/>
      <c r="J34" s="71"/>
      <c r="K34" s="71"/>
      <c r="L34" s="71"/>
      <c r="M34" s="71"/>
      <c r="N34" s="71"/>
      <c r="O34" s="71"/>
      <c r="P34" s="71"/>
      <c r="Q34" s="71"/>
      <c r="R34" s="64"/>
      <c r="S34" s="23"/>
      <c r="T34" s="64"/>
      <c r="U34" s="64"/>
      <c r="V34" s="64"/>
      <c r="W34" s="64"/>
      <c r="X34" s="64"/>
      <c r="Y34" s="64"/>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row>
    <row r="35" spans="1:56" ht="30" customHeight="1" thickBot="1" x14ac:dyDescent="0.35">
      <c r="A35" s="41"/>
      <c r="B35" s="41" t="s">
        <v>19</v>
      </c>
      <c r="C35" s="36" t="s">
        <v>52</v>
      </c>
      <c r="D35" s="19">
        <v>1</v>
      </c>
      <c r="E35" s="54">
        <f>E34</f>
        <v>45682</v>
      </c>
      <c r="F35" s="54">
        <f>E35+2</f>
        <v>45684</v>
      </c>
      <c r="G35" s="10">
        <f t="shared" si="7"/>
        <v>3</v>
      </c>
      <c r="H35" s="71"/>
      <c r="I35" s="71"/>
      <c r="J35" s="71"/>
      <c r="K35" s="71"/>
      <c r="L35" s="71"/>
      <c r="M35" s="71"/>
      <c r="N35" s="71"/>
      <c r="O35" s="71"/>
      <c r="P35" s="71"/>
      <c r="Q35" s="71"/>
      <c r="R35" s="64"/>
      <c r="S35" s="23"/>
      <c r="T35" s="64"/>
      <c r="U35" s="64"/>
      <c r="V35" s="64"/>
      <c r="W35" s="64"/>
      <c r="X35" s="64"/>
      <c r="Y35" s="64"/>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row>
    <row r="36" spans="1:56" ht="30" customHeight="1" thickBot="1" x14ac:dyDescent="0.35">
      <c r="A36" s="41"/>
      <c r="B36" s="41" t="s">
        <v>58</v>
      </c>
      <c r="C36" s="36" t="s">
        <v>32</v>
      </c>
      <c r="D36" s="19">
        <v>1</v>
      </c>
      <c r="E36" s="54">
        <f>E35</f>
        <v>45682</v>
      </c>
      <c r="F36" s="54">
        <f>E36</f>
        <v>45682</v>
      </c>
      <c r="G36" s="10">
        <f t="shared" si="7"/>
        <v>1</v>
      </c>
      <c r="H36" s="71"/>
      <c r="I36" s="71"/>
      <c r="J36" s="71"/>
      <c r="K36" s="71"/>
      <c r="L36" s="71"/>
      <c r="M36" s="71"/>
      <c r="N36" s="71"/>
      <c r="O36" s="71"/>
      <c r="P36" s="71"/>
      <c r="Q36" s="71"/>
      <c r="R36" s="64"/>
      <c r="S36" s="23"/>
      <c r="T36" s="64"/>
      <c r="U36" s="64"/>
      <c r="V36" s="64"/>
      <c r="W36" s="64"/>
      <c r="X36" s="64"/>
      <c r="Y36" s="64"/>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row>
    <row r="37" spans="1:56" ht="30" customHeight="1" thickBot="1" x14ac:dyDescent="0.35">
      <c r="A37" s="41"/>
      <c r="B37" s="41" t="s">
        <v>30</v>
      </c>
      <c r="C37" s="36" t="s">
        <v>49</v>
      </c>
      <c r="D37" s="19">
        <v>1</v>
      </c>
      <c r="E37" s="54">
        <f>F34</f>
        <v>45684</v>
      </c>
      <c r="F37" s="54">
        <f>E37+1</f>
        <v>45685</v>
      </c>
      <c r="G37" s="10">
        <f t="shared" si="7"/>
        <v>2</v>
      </c>
      <c r="H37" s="71"/>
      <c r="I37" s="71"/>
      <c r="J37" s="71"/>
      <c r="K37" s="71"/>
      <c r="L37" s="71"/>
      <c r="M37" s="71"/>
      <c r="N37" s="71"/>
      <c r="O37" s="71"/>
      <c r="P37" s="71"/>
      <c r="Q37" s="71"/>
      <c r="R37" s="64"/>
      <c r="S37" s="23"/>
      <c r="T37" s="64"/>
      <c r="U37" s="64"/>
      <c r="V37" s="64"/>
      <c r="W37" s="64"/>
      <c r="X37" s="64"/>
      <c r="Y37" s="64"/>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row>
    <row r="38" spans="1:56" ht="30" customHeight="1" thickBot="1" x14ac:dyDescent="0.35">
      <c r="A38" s="20"/>
      <c r="B38" s="20" t="s">
        <v>45</v>
      </c>
      <c r="C38" s="37"/>
      <c r="D38" s="21"/>
      <c r="E38" s="55"/>
      <c r="F38" s="56"/>
      <c r="G38" s="10"/>
      <c r="H38" s="71"/>
      <c r="I38" s="71"/>
      <c r="J38" s="71"/>
      <c r="K38" s="71"/>
      <c r="L38" s="71"/>
      <c r="M38" s="71"/>
      <c r="N38" s="71"/>
      <c r="O38" s="71"/>
      <c r="P38" s="71"/>
      <c r="Q38" s="71"/>
      <c r="R38" s="64"/>
      <c r="S38" s="23"/>
      <c r="T38" s="64"/>
      <c r="U38" s="64"/>
      <c r="V38" s="64"/>
      <c r="W38" s="64"/>
      <c r="X38" s="64"/>
      <c r="Y38" s="64"/>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row>
    <row r="39" spans="1:56" s="3" customFormat="1" ht="30" customHeight="1" thickBot="1" x14ac:dyDescent="0.35">
      <c r="A39" s="42"/>
      <c r="B39" s="42" t="s">
        <v>46</v>
      </c>
      <c r="C39" s="38" t="s">
        <v>60</v>
      </c>
      <c r="D39" s="22">
        <v>1</v>
      </c>
      <c r="E39" s="57">
        <f>F35</f>
        <v>45684</v>
      </c>
      <c r="F39" s="57">
        <f>E39+2</f>
        <v>45686</v>
      </c>
      <c r="G39" s="10">
        <f>IF(OR(ISBLANK(inizio_attività),ISBLANK(fine_attività)),"",fine_attività-inizio_attività+1)</f>
        <v>3</v>
      </c>
      <c r="H39" s="71"/>
      <c r="I39" s="71"/>
      <c r="J39" s="71"/>
      <c r="K39" s="71"/>
      <c r="L39" s="71"/>
      <c r="M39" s="71"/>
      <c r="N39" s="71"/>
      <c r="O39" s="71"/>
      <c r="P39" s="71"/>
      <c r="Q39" s="71"/>
      <c r="R39" s="64"/>
      <c r="S39" s="23"/>
      <c r="T39" s="64"/>
      <c r="U39" s="64"/>
      <c r="V39" s="64"/>
      <c r="W39" s="64"/>
      <c r="X39" s="64"/>
      <c r="Y39" s="64"/>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row>
    <row r="40" spans="1:56" ht="30" customHeight="1" thickBot="1" x14ac:dyDescent="0.35">
      <c r="A40" s="42"/>
      <c r="B40" s="42" t="s">
        <v>29</v>
      </c>
      <c r="C40" s="38" t="s">
        <v>61</v>
      </c>
      <c r="D40" s="22">
        <v>1</v>
      </c>
      <c r="E40" s="57">
        <f>E39</f>
        <v>45684</v>
      </c>
      <c r="F40" s="57">
        <f>F39</f>
        <v>45686</v>
      </c>
      <c r="G40" s="10">
        <f>IF(OR(ISBLANK(inizio_attività),ISBLANK(fine_attività)),"",fine_attività-inizio_attività+1)</f>
        <v>3</v>
      </c>
      <c r="H40" s="71"/>
      <c r="I40" s="71"/>
      <c r="J40" s="71"/>
      <c r="K40" s="71"/>
      <c r="L40" s="71"/>
      <c r="M40" s="71"/>
      <c r="N40" s="71"/>
      <c r="O40" s="71"/>
      <c r="P40" s="71"/>
      <c r="Q40" s="71"/>
      <c r="R40" s="64"/>
      <c r="S40" s="23"/>
      <c r="T40" s="64"/>
      <c r="U40" s="64"/>
      <c r="V40" s="64"/>
      <c r="W40" s="64"/>
      <c r="X40" s="64"/>
      <c r="Y40" s="64"/>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row>
  </sheetData>
  <mergeCells count="10">
    <mergeCell ref="C3:D3"/>
    <mergeCell ref="C4:D4"/>
    <mergeCell ref="AJ4:AP4"/>
    <mergeCell ref="AQ4:AW4"/>
    <mergeCell ref="AX4:BD4"/>
    <mergeCell ref="E3:F3"/>
    <mergeCell ref="H4:N4"/>
    <mergeCell ref="O4:U4"/>
    <mergeCell ref="V4:AB4"/>
    <mergeCell ref="AC4:AI4"/>
  </mergeCells>
  <conditionalFormatting sqref="D7:D40">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C40">
    <cfRule type="expression" dxfId="4" priority="3">
      <formula>AND(TODAY()&gt;=H$5,TODAY()&lt;I$5)</formula>
    </cfRule>
  </conditionalFormatting>
  <conditionalFormatting sqref="H7:BC40">
    <cfRule type="expression" dxfId="3" priority="2" stopIfTrue="1">
      <formula>AND(fine_attività&gt;=H$5,inizio_attività&lt;I$5)</formula>
    </cfRule>
  </conditionalFormatting>
  <conditionalFormatting sqref="H7:BD40">
    <cfRule type="expression" dxfId="2" priority="1">
      <formula>AND(inizio_attività&lt;=H$5,ROUNDDOWN((fine_attività-inizio_attività+1)*avanzamento_attività,0)+inizio_attività-1&gt;=H$5)</formula>
    </cfRule>
  </conditionalFormatting>
  <conditionalFormatting sqref="BD5:BD40">
    <cfRule type="expression" dxfId="1" priority="38">
      <formula>AND(TODAY()&gt;=BD$5,TODAY()&lt;#REF!)</formula>
    </cfRule>
  </conditionalFormatting>
  <conditionalFormatting sqref="BD7:BD40">
    <cfRule type="expression" dxfId="0" priority="42" stopIfTrue="1">
      <formula>AND(fine_attività&gt;=BD$5,inizio_attività&lt;#REF!)</formula>
    </cfRule>
  </conditionalFormatting>
  <dataValidations disablePrompts="1"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613FF-8A2D-497A-992B-09A4ADEED06A}">
  <dimension ref="A1:B2"/>
  <sheetViews>
    <sheetView workbookViewId="0">
      <selection activeCell="B3" sqref="B3"/>
    </sheetView>
  </sheetViews>
  <sheetFormatPr defaultRowHeight="14.4" x14ac:dyDescent="0.3"/>
  <sheetData>
    <row r="1" spans="1:2" x14ac:dyDescent="0.3">
      <c r="A1" s="62"/>
      <c r="B1" t="s">
        <v>36</v>
      </c>
    </row>
    <row r="2" spans="1:2" x14ac:dyDescent="0.3">
      <c r="A2" s="63"/>
      <c r="B2"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574973502B84C42B74035BA8AADE1A3" ma:contentTypeVersion="9" ma:contentTypeDescription="Creare un nuovo documento." ma:contentTypeScope="" ma:versionID="1ba771f4a91505810405fb99ac35d176">
  <xsd:schema xmlns:xsd="http://www.w3.org/2001/XMLSchema" xmlns:xs="http://www.w3.org/2001/XMLSchema" xmlns:p="http://schemas.microsoft.com/office/2006/metadata/properties" xmlns:ns3="8f4f0557-6568-4af7-94c6-f11cb446b9b2" xmlns:ns4="5a27f7c0-5079-4b07-ba64-6dc03dd2d3af" targetNamespace="http://schemas.microsoft.com/office/2006/metadata/properties" ma:root="true" ma:fieldsID="a3481e8909782aae8d117dfcc8e1ba87" ns3:_="" ns4:_="">
    <xsd:import namespace="8f4f0557-6568-4af7-94c6-f11cb446b9b2"/>
    <xsd:import namespace="5a27f7c0-5079-4b07-ba64-6dc03dd2d3af"/>
    <xsd:element name="properties">
      <xsd:complexType>
        <xsd:sequence>
          <xsd:element name="documentManagement">
            <xsd:complexType>
              <xsd:all>
                <xsd:element ref="ns3:SharedWithUsers" minOccurs="0"/>
                <xsd:element ref="ns3:SharedWithDetails" minOccurs="0"/>
                <xsd:element ref="ns3:SharingHintHash" minOccurs="0"/>
                <xsd:element ref="ns4:_activity"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4f0557-6568-4af7-94c6-f11cb446b9b2"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SharingHintHash" ma:index="10" nillable="true" ma:displayName="Hash suggerimento condivisione"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27f7c0-5079-4b07-ba64-6dc03dd2d3af" elementFormDefault="qualified">
    <xsd:import namespace="http://schemas.microsoft.com/office/2006/documentManagement/types"/>
    <xsd:import namespace="http://schemas.microsoft.com/office/infopath/2007/PartnerControls"/>
    <xsd:element name="_activity" ma:index="11"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a27f7c0-5079-4b07-ba64-6dc03dd2d3af" xsi:nil="true"/>
  </documentManagement>
</p:properties>
</file>

<file path=customXml/itemProps1.xml><?xml version="1.0" encoding="utf-8"?>
<ds:datastoreItem xmlns:ds="http://schemas.openxmlformats.org/officeDocument/2006/customXml" ds:itemID="{26A7A2A5-3EAC-4111-8CE5-4F4CD49198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4f0557-6568-4af7-94c6-f11cb446b9b2"/>
    <ds:schemaRef ds:uri="5a27f7c0-5079-4b07-ba64-6dc03dd2d3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8f4f0557-6568-4af7-94c6-f11cb446b9b2"/>
    <ds:schemaRef ds:uri="http://purl.org/dc/terms/"/>
    <ds:schemaRef ds:uri="http://schemas.openxmlformats.org/package/2006/metadata/core-properties"/>
    <ds:schemaRef ds:uri="http://purl.org/dc/dcmitype/"/>
    <ds:schemaRef ds:uri="5a27f7c0-5079-4b07-ba64-6dc03dd2d3a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6</vt:i4>
      </vt:variant>
    </vt:vector>
  </HeadingPairs>
  <TitlesOfParts>
    <vt:vector size="8" baseType="lpstr">
      <vt:lpstr>PianificazioneProgetto</vt:lpstr>
      <vt:lpstr>Legenda</vt:lpstr>
      <vt:lpstr>PianificazioneProgetto!avanzamento_attività</vt:lpstr>
      <vt:lpstr>PianificazioneProgetto!fine_attività</vt:lpstr>
      <vt:lpstr>PianificazioneProgetto!inizio_attività</vt:lpstr>
      <vt:lpstr>Inizio_progetto</vt:lpstr>
      <vt:lpstr>PianificazioneProgetto!Titoli_stampa</vt:lpstr>
      <vt:lpstr>Visualizza_settimana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2025-01-29T11:24:28Z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0x0101003574973502B84C42B74035BA8AADE1A3</vt:lpwstr>
  </property>
</Properties>
</file>